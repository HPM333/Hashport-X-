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投稿ログ" sheetId="1" state="visible" r:id="rId1"/>
    <sheet xmlns:r="http://schemas.openxmlformats.org/officeDocument/2006/relationships" name="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8" customWidth="1" min="4" max="4"/>
    <col width="50" customWidth="1" min="5" max="5"/>
    <col width="35" customWidth="1" min="6" max="6"/>
    <col width="20" customWidth="1" min="7" max="7"/>
    <col width="18" customWidth="1" min="8" max="8"/>
    <col width="10" customWidth="1" min="9" max="9"/>
    <col width="10" customWidth="1" min="10" max="10"/>
    <col width="10" customWidth="1" min="11" max="11"/>
    <col width="14" customWidth="1" min="12" max="12"/>
    <col width="30" customWidth="1" min="13" max="13"/>
  </cols>
  <sheetData>
    <row r="1">
      <c r="A1" s="1" t="inlineStr">
        <is>
          <t>収集日時</t>
        </is>
      </c>
      <c r="B1" s="1" t="inlineStr">
        <is>
          <t>投稿日時</t>
        </is>
      </c>
      <c r="C1" s="1" t="inlineStr">
        <is>
          <t>投稿者アカウント</t>
        </is>
      </c>
      <c r="D1" s="1" t="inlineStr">
        <is>
          <t>表示名</t>
        </is>
      </c>
      <c r="E1" s="1" t="inlineStr">
        <is>
          <t>投稿内容</t>
        </is>
      </c>
      <c r="F1" s="1" t="inlineStr">
        <is>
          <t>投稿URL</t>
        </is>
      </c>
      <c r="G1" s="1" t="inlineStr">
        <is>
          <t>マッチKW</t>
        </is>
      </c>
      <c r="H1" s="1" t="inlineStr">
        <is>
          <t>そのKWの総投稿数</t>
        </is>
      </c>
      <c r="I1" s="1" t="inlineStr">
        <is>
          <t>いいね数</t>
        </is>
      </c>
      <c r="J1" s="1" t="inlineStr">
        <is>
          <t>RT数</t>
        </is>
      </c>
      <c r="K1" s="1" t="inlineStr">
        <is>
          <t>返信数</t>
        </is>
      </c>
      <c r="L1" s="1" t="inlineStr">
        <is>
          <t>ポジネガ判定</t>
        </is>
      </c>
      <c r="M1" s="1" t="inlineStr">
        <is>
          <t>判定理由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</sheetData>
  <conditionalFormatting sqref="L2:L100">
    <cfRule type="cellIs" priority="1" operator="equal" dxfId="0">
      <formula>"ポジティブ"</formula>
    </cfRule>
    <cfRule type="cellIs" priority="2" operator="equal" dxfId="1">
      <formula>"ネガティブ"</formula>
    </cfRule>
    <cfRule type="cellIs" priority="3" operator="equal" dxfId="2">
      <formula>"ニュートラル"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4" t="inlineStr">
        <is>
          <t>KW別投稿サマリー</t>
        </is>
      </c>
    </row>
    <row r="3">
      <c r="A3" s="1" t="inlineStr">
        <is>
          <t>KW名</t>
        </is>
      </c>
      <c r="B3" s="1" t="inlineStr">
        <is>
          <t>総投稿数</t>
        </is>
      </c>
      <c r="C3" s="1" t="inlineStr">
        <is>
          <t>ポジティブ数</t>
        </is>
      </c>
      <c r="D3" s="1" t="inlineStr">
        <is>
          <t>ネガティブ数</t>
        </is>
      </c>
      <c r="E3" s="1" t="inlineStr">
        <is>
          <t>ニュートラル数</t>
        </is>
      </c>
      <c r="F3" s="1" t="inlineStr">
        <is>
          <t>ポジ率(%)</t>
        </is>
      </c>
    </row>
    <row r="4">
      <c r="A4" s="5" t="inlineStr">
        <is>
          <t>Hashport</t>
        </is>
      </c>
      <c r="B4" s="5">
        <f>COUNTIF('X投稿ログ'!G:G,A4)</f>
        <v/>
      </c>
      <c r="C4" s="5">
        <f>COUNTIFS('X投稿ログ'!G:G,A4,'X投稿ログ'!L:L,"ポジティブ")</f>
        <v/>
      </c>
      <c r="D4" s="5">
        <f>COUNTIFS('X投稿ログ'!G:G,A4,'X投稿ログ'!L:L,"ネガティブ")</f>
        <v/>
      </c>
      <c r="E4" s="5">
        <f>COUNTIFS('X投稿ログ'!G:G,A4,'X投稿ログ'!L:L,"ニュートラル")</f>
        <v/>
      </c>
      <c r="F4" s="5">
        <f>IF(B4=0,0,ROUND(C4/B4*100,1))</f>
        <v/>
      </c>
    </row>
    <row r="5">
      <c r="A5" s="5" t="inlineStr">
        <is>
          <t>HashPortWallet</t>
        </is>
      </c>
      <c r="B5" s="5">
        <f>COUNTIF('X投稿ログ'!G:G,A5)</f>
        <v/>
      </c>
      <c r="C5" s="5">
        <f>COUNTIFS('X投稿ログ'!G:G,A5,'X投稿ログ'!L:L,"ポジティブ")</f>
        <v/>
      </c>
      <c r="D5" s="5">
        <f>COUNTIFS('X投稿ログ'!G:G,A5,'X投稿ログ'!L:L,"ネガティブ")</f>
        <v/>
      </c>
      <c r="E5" s="5">
        <f>COUNTIFS('X投稿ログ'!G:G,A5,'X投稿ログ'!L:L,"ニュートラル")</f>
        <v/>
      </c>
      <c r="F5" s="5">
        <f>IF(B5=0,0,ROUND(C5/B5*100,1))</f>
        <v/>
      </c>
    </row>
    <row r="6">
      <c r="A6" s="5" t="inlineStr">
        <is>
          <t>HashPort Wallet</t>
        </is>
      </c>
      <c r="B6" s="5">
        <f>COUNTIF('X投稿ログ'!G:G,A6)</f>
        <v/>
      </c>
      <c r="C6" s="5">
        <f>COUNTIFS('X投稿ログ'!G:G,A6,'X投稿ログ'!L:L,"ポジティブ")</f>
        <v/>
      </c>
      <c r="D6" s="5">
        <f>COUNTIFS('X投稿ログ'!G:G,A6,'X投稿ログ'!L:L,"ネガティブ")</f>
        <v/>
      </c>
      <c r="E6" s="5">
        <f>COUNTIFS('X投稿ログ'!G:G,A6,'X投稿ログ'!L:L,"ニュートラル")</f>
        <v/>
      </c>
      <c r="F6" s="5">
        <f>IF(B6=0,0,ROUND(C6/B6*100,1))</f>
        <v/>
      </c>
    </row>
    <row r="7">
      <c r="A7" s="5" t="inlineStr">
        <is>
          <t>ハッシュポート</t>
        </is>
      </c>
      <c r="B7" s="5">
        <f>COUNTIF('X投稿ログ'!G:G,A7)</f>
        <v/>
      </c>
      <c r="C7" s="5">
        <f>COUNTIFS('X投稿ログ'!G:G,A7,'X投稿ログ'!L:L,"ポジティブ")</f>
        <v/>
      </c>
      <c r="D7" s="5">
        <f>COUNTIFS('X投稿ログ'!G:G,A7,'X投稿ログ'!L:L,"ネガティブ")</f>
        <v/>
      </c>
      <c r="E7" s="5">
        <f>COUNTIFS('X投稿ログ'!G:G,A7,'X投稿ログ'!L:L,"ニュートラル")</f>
        <v/>
      </c>
      <c r="F7" s="5">
        <f>IF(B7=0,0,ROUND(C7/B7*100,1))</f>
        <v/>
      </c>
    </row>
    <row r="8">
      <c r="A8" s="5" t="inlineStr">
        <is>
          <t>ハッシュポートウォレット</t>
        </is>
      </c>
      <c r="B8" s="5">
        <f>COUNTIF('X投稿ログ'!G:G,A8)</f>
        <v/>
      </c>
      <c r="C8" s="5">
        <f>COUNTIFS('X投稿ログ'!G:G,A8,'X投稿ログ'!L:L,"ポジティブ")</f>
        <v/>
      </c>
      <c r="D8" s="5">
        <f>COUNTIFS('X投稿ログ'!G:G,A8,'X投稿ログ'!L:L,"ネガティブ")</f>
        <v/>
      </c>
      <c r="E8" s="5">
        <f>COUNTIFS('X投稿ログ'!G:G,A8,'X投稿ログ'!L:L,"ニュートラル")</f>
        <v/>
      </c>
      <c r="F8" s="5">
        <f>IF(B8=0,0,ROUND(C8/B8*100,1))</f>
        <v/>
      </c>
    </row>
    <row r="9">
      <c r="A9" s="6" t="inlineStr">
        <is>
          <t>合計</t>
        </is>
      </c>
      <c r="B9" s="5">
        <f>SUM(B4:B8)</f>
        <v/>
      </c>
      <c r="C9" s="5">
        <f>SUM(C4:C8)</f>
        <v/>
      </c>
      <c r="D9" s="5">
        <f>SUM(D4:D8)</f>
        <v/>
      </c>
      <c r="E9" s="5">
        <f>SUM(E4:E8)</f>
        <v/>
      </c>
      <c r="F9" s="5">
        <f>IF(B9=0,0,ROUND(C9/B9*100,1))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2026-05-14T02:15:18Z</dcterms:created>
  <dcterms:modified xmlns:dcterms="http://purl.org/dc/terms/" xmlns:xsi="http://www.w3.org/2001/XMLSchema-instance" xsi:type="dcterms:W3CDTF">2026-05-14T02:15:18Z</dcterms:modified>
</cp:coreProperties>
</file>